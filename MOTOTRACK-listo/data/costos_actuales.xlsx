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stos" sheetId="1" state="visible" r:id="rId1"/>
    <sheet name="Detalle_MD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rlito"/>
      <sz val="11"/>
    </font>
    <font>
      <name val="Carlito"/>
      <b val="1"/>
      <color rgb="FFFFFFFF"/>
      <sz val="15"/>
    </font>
    <font>
      <name val="Carlito"/>
      <i val="1"/>
      <color rgb="FF1F1F1F"/>
      <sz val="11"/>
    </font>
    <font>
      <name val="Carlito"/>
      <b val="1"/>
      <color rgb="FFFFFFFF"/>
      <sz val="11"/>
    </font>
    <font>
      <name val="Carlito"/>
      <b val="1"/>
      <color rgb="FF1F1F1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4" fontId="4" fillId="5" borderId="0" pivotButton="0" quotePrefix="0" xfId="0"/>
    <xf numFmtId="164" fontId="4" fillId="5" borderId="1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164" fontId="4" fillId="5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164" fontId="4" fillId="5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10" fontId="0" fillId="0" borderId="0" pivotButton="0" quotePrefix="0" xfId="0"/>
    <xf numFmtId="1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wrapText="1"/>
    </xf>
    <xf numFmtId="164" fontId="4" fillId="5" borderId="0" applyAlignment="1" pivotButton="0" quotePrefix="0" xfId="0">
      <alignment wrapText="1"/>
    </xf>
    <xf numFmtId="0" fontId="3" fillId="2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Costos" displayName="TablaCostos" ref="A4:G7" headerRowCount="1" totalsRowCount="0" totalsRowShown="0">
  <tableColumns count="7">
    <tableColumn id="1" name="Producto"/>
    <tableColumn id="2" name="Precio de venta"/>
    <tableColumn id="3" name="MD por unidad"/>
    <tableColumn id="4" name="MOD por unidad"/>
    <tableColumn id="5" name="Costo fabricación"/>
    <tableColumn id="6" name="Utilidad unitaria"/>
    <tableColumn id="7" name="Margen sobre ve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DetalleMD" displayName="TablaDetalleMD" ref="A4:I33" headerRowCount="1" totalsRowCount="0" totalsRowShown="0">
  <tableColumns count="9">
    <tableColumn id="1" name="ID"/>
    <tableColumn id="2" name="Materia prima"/>
    <tableColumn id="3" name="Precio unitario"/>
    <tableColumn id="4" name="Cant. Moto"/>
    <tableColumn id="5" name="Costo Moto"/>
    <tableColumn id="6" name="Cant. Cuatrimoto"/>
    <tableColumn id="7" name="Costo Cuatrimoto"/>
    <tableColumn id="8" name="Cant. Tractor"/>
    <tableColumn id="9" name="Costo Tr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54" t="inlineStr">
        <is>
          <t>COSTOS DE FABRICACIÓN MOTOTRAK</t>
        </is>
      </c>
      <c r="B1" s="1" t="n"/>
      <c r="C1" s="1" t="n"/>
      <c r="D1" s="1" t="n"/>
      <c r="E1" s="1" t="n"/>
      <c r="F1" s="1" t="n"/>
      <c r="G1" s="1" t="n"/>
    </row>
    <row r="2" ht="30" customHeight="1">
      <c r="A2" s="17" t="inlineStr">
        <is>
          <t>Base para clasificación ABC-XYZ. Incluye únicamente Material Directo (MD) + Mano de Obra Directa (MOD). No incluye transporte ni costos fijos, de acuerdo con la actividad.</t>
        </is>
      </c>
      <c r="B2" s="1" t="n"/>
      <c r="C2" s="1" t="n"/>
      <c r="D2" s="1" t="n"/>
      <c r="E2" s="1" t="n"/>
      <c r="F2" s="1" t="n"/>
      <c r="G2" s="1" t="n"/>
    </row>
    <row r="3">
      <c r="A3" s="36" t="n"/>
      <c r="B3" s="36" t="n"/>
      <c r="C3" s="36" t="n"/>
      <c r="D3" s="36" t="n"/>
      <c r="E3" s="36" t="n"/>
      <c r="F3" s="36" t="n"/>
      <c r="G3" s="36" t="n"/>
    </row>
    <row r="4">
      <c r="A4" s="22" t="inlineStr">
        <is>
          <t>Producto</t>
        </is>
      </c>
      <c r="B4" s="22" t="inlineStr">
        <is>
          <t>Precio de venta</t>
        </is>
      </c>
      <c r="C4" s="22" t="inlineStr">
        <is>
          <t>MD por unidad</t>
        </is>
      </c>
      <c r="D4" s="22" t="inlineStr">
        <is>
          <t>MOD por unidad</t>
        </is>
      </c>
      <c r="E4" s="22" t="inlineStr">
        <is>
          <t>Costo fabricación</t>
        </is>
      </c>
      <c r="F4" s="22" t="inlineStr">
        <is>
          <t>Utilidad unitaria</t>
        </is>
      </c>
      <c r="G4" s="22" t="inlineStr">
        <is>
          <t>Margen sobre venta</t>
        </is>
      </c>
    </row>
    <row r="5">
      <c r="A5" s="36" t="inlineStr">
        <is>
          <t>Moto</t>
        </is>
      </c>
      <c r="B5" s="55" t="n">
        <v>7000000</v>
      </c>
      <c r="C5" s="55" t="n">
        <v>3927000</v>
      </c>
      <c r="D5" s="55" t="n">
        <v>1642500</v>
      </c>
      <c r="E5" s="55" t="n">
        <v>5569500</v>
      </c>
      <c r="F5" s="55" t="n">
        <v>1430500</v>
      </c>
      <c r="G5" s="56" t="n">
        <v>0.2043571428571428</v>
      </c>
    </row>
    <row r="6">
      <c r="A6" s="36" t="inlineStr">
        <is>
          <t>Cuatrimoto</t>
        </is>
      </c>
      <c r="B6" s="55" t="n">
        <v>9000000</v>
      </c>
      <c r="C6" s="55" t="n">
        <v>3788000</v>
      </c>
      <c r="D6" s="55" t="n">
        <v>1378500</v>
      </c>
      <c r="E6" s="55" t="n">
        <v>5166500</v>
      </c>
      <c r="F6" s="55" t="n">
        <v>3833500</v>
      </c>
      <c r="G6" s="56" t="n">
        <v>0.4259444444444445</v>
      </c>
    </row>
    <row r="7">
      <c r="A7" s="36" t="inlineStr">
        <is>
          <t>Tractor</t>
        </is>
      </c>
      <c r="B7" s="55" t="n">
        <v>11000000</v>
      </c>
      <c r="C7" s="55" t="n">
        <v>4140000</v>
      </c>
      <c r="D7" s="55" t="n">
        <v>1665000</v>
      </c>
      <c r="E7" s="55" t="n">
        <v>5805000</v>
      </c>
      <c r="F7" s="55" t="n">
        <v>5195000</v>
      </c>
      <c r="G7" s="56" t="n">
        <v>0.4722727272727273</v>
      </c>
    </row>
    <row r="8">
      <c r="A8" s="36" t="n"/>
      <c r="B8" s="36" t="n"/>
      <c r="C8" s="36" t="n"/>
      <c r="D8" s="36" t="n"/>
      <c r="E8" s="36" t="n"/>
      <c r="F8" s="36" t="n"/>
      <c r="G8" s="36" t="n"/>
    </row>
    <row r="9">
      <c r="A9" s="36" t="n"/>
      <c r="B9" s="36" t="n"/>
      <c r="C9" s="36" t="n"/>
      <c r="D9" s="36" t="n"/>
      <c r="E9" s="36" t="n"/>
      <c r="F9" s="36" t="n"/>
      <c r="G9" s="36" t="n"/>
    </row>
    <row r="10">
      <c r="A10" s="57" t="inlineStr">
        <is>
          <t>Cálculo de MOD por estación de trabajo</t>
        </is>
      </c>
      <c r="B10" s="1" t="n"/>
      <c r="C10" s="1" t="n"/>
      <c r="D10" s="1" t="n"/>
      <c r="E10" s="1" t="n"/>
      <c r="F10" s="1" t="n"/>
      <c r="G10" s="36" t="n"/>
    </row>
    <row r="11">
      <c r="A11" s="22" t="inlineStr">
        <is>
          <t>Estación</t>
        </is>
      </c>
      <c r="B11" s="22" t="inlineStr">
        <is>
          <t>$ / unidad de tiempo</t>
        </is>
      </c>
      <c r="C11" s="22" t="inlineStr">
        <is>
          <t>Tiempo Moto</t>
        </is>
      </c>
      <c r="D11" s="22" t="inlineStr">
        <is>
          <t>Tiempo Cuatrimoto</t>
        </is>
      </c>
      <c r="E11" s="22" t="inlineStr">
        <is>
          <t>Tiempo Tractor</t>
        </is>
      </c>
      <c r="F11" s="22" t="inlineStr">
        <is>
          <t>Observación</t>
        </is>
      </c>
      <c r="G11" s="36" t="n"/>
    </row>
    <row r="12">
      <c r="A12" s="36" t="inlineStr">
        <is>
          <t>Armar Base</t>
        </is>
      </c>
      <c r="B12" s="55" t="n">
        <v>3000</v>
      </c>
      <c r="C12" s="36" t="n">
        <v>20</v>
      </c>
      <c r="D12" s="36" t="n">
        <v>20</v>
      </c>
      <c r="E12" s="36" t="n">
        <v>20</v>
      </c>
      <c r="F12" s="36" t="inlineStr">
        <is>
          <t>Tiempo × tarifa</t>
        </is>
      </c>
      <c r="G12" s="36" t="n"/>
    </row>
    <row r="13">
      <c r="A13" s="36" t="inlineStr">
        <is>
          <t>Armar Chasís</t>
        </is>
      </c>
      <c r="B13" s="55" t="n">
        <v>4000</v>
      </c>
      <c r="C13" s="36" t="n">
        <v>180</v>
      </c>
      <c r="D13" s="36" t="n">
        <v>89</v>
      </c>
      <c r="E13" s="36" t="n">
        <v>245</v>
      </c>
      <c r="F13" s="36" t="inlineStr">
        <is>
          <t>Tiempo × tarifa</t>
        </is>
      </c>
      <c r="G13" s="36" t="n"/>
    </row>
    <row r="14">
      <c r="A14" s="36" t="inlineStr">
        <is>
          <t>Rueda - Oruga</t>
        </is>
      </c>
      <c r="B14" s="55" t="n">
        <v>2500</v>
      </c>
      <c r="C14" s="36" t="n">
        <v>295</v>
      </c>
      <c r="D14" s="36" t="n">
        <v>235</v>
      </c>
      <c r="E14" s="36" t="n">
        <v>150</v>
      </c>
      <c r="F14" s="36" t="inlineStr">
        <is>
          <t>Tiempo × tarifa</t>
        </is>
      </c>
      <c r="G14" s="36" t="n"/>
    </row>
    <row r="15">
      <c r="A15" s="36" t="inlineStr">
        <is>
          <t>Asiento - Volante</t>
        </is>
      </c>
      <c r="B15" s="55" t="n">
        <v>2500</v>
      </c>
      <c r="C15" s="36" t="n">
        <v>50</v>
      </c>
      <c r="D15" s="36" t="n">
        <v>150</v>
      </c>
      <c r="E15" s="36" t="n">
        <v>100</v>
      </c>
      <c r="F15" s="36" t="inlineStr">
        <is>
          <t>Tiempo × tarifa</t>
        </is>
      </c>
      <c r="G15" s="36" t="n"/>
    </row>
    <row r="16">
      <c r="A16" s="36" t="n"/>
      <c r="B16" s="36" t="n"/>
      <c r="C16" s="36" t="n"/>
      <c r="D16" s="36" t="n"/>
      <c r="E16" s="36" t="n"/>
      <c r="F16" s="36" t="n"/>
      <c r="G16" s="36" t="n"/>
    </row>
    <row r="17">
      <c r="A17" s="42" t="inlineStr">
        <is>
          <t>MOD total por unidad</t>
        </is>
      </c>
      <c r="B17" s="1" t="n"/>
      <c r="C17" s="58">
        <f>SUMPRODUCT(B12:B15,C12:C15)</f>
        <v/>
      </c>
      <c r="D17" s="58">
        <f>SUMPRODUCT(B12:B15,D12:D15)</f>
        <v/>
      </c>
      <c r="E17" s="58">
        <f>SUMPRODUCT(B12:B15,E12:E15)</f>
        <v/>
      </c>
      <c r="F17" s="36" t="n"/>
      <c r="G17" s="36" t="n"/>
    </row>
    <row r="18">
      <c r="A18" s="36" t="n"/>
      <c r="B18" s="36" t="n"/>
      <c r="C18" s="36" t="n"/>
      <c r="D18" s="36" t="n"/>
      <c r="E18" s="36" t="n"/>
      <c r="F18" s="36" t="n"/>
      <c r="G18" s="36" t="n"/>
    </row>
    <row r="19">
      <c r="A19" s="36" t="n"/>
      <c r="B19" s="36" t="n"/>
      <c r="C19" s="36" t="n"/>
      <c r="D19" s="36" t="n"/>
      <c r="E19" s="36" t="n"/>
      <c r="F19" s="36" t="n"/>
      <c r="G19" s="36" t="n"/>
    </row>
    <row r="20">
      <c r="A20" s="59" t="inlineStr">
        <is>
          <t>Notas para la aplicación</t>
        </is>
      </c>
      <c r="B20" s="1" t="n"/>
      <c r="C20" s="1" t="n"/>
      <c r="D20" s="1" t="n"/>
      <c r="E20" s="1" t="n"/>
      <c r="F20" s="1" t="n"/>
      <c r="G20" s="1" t="n"/>
    </row>
    <row r="21" ht="24" customHeight="1">
      <c r="A21" s="17" t="inlineStr">
        <is>
          <t>La hoja 'Costos' queda preparada como archivo de entrada para la app. La clasificación ABC debe usar la utilidad generada por SKU = demanda anual × utilidad unitaria. La clasificación XYZ debe usar Score%/MAE% del motor de pronósticos y no el CV. El RMSE debe conservarse para el cálculo posterior de stock de seguridad.</t>
        </is>
      </c>
      <c r="B21" s="1" t="n"/>
      <c r="C21" s="1" t="n"/>
      <c r="D21" s="1" t="n"/>
      <c r="E21" s="1" t="n"/>
      <c r="F21" s="1" t="n"/>
      <c r="G21" s="1" t="n"/>
    </row>
    <row r="22" ht="24" customHeight="1">
      <c r="A22" s="1" t="n"/>
      <c r="G22" s="1" t="n"/>
    </row>
    <row r="23" ht="24" customHeight="1">
      <c r="A23" s="1" t="n"/>
      <c r="B23" s="1" t="n"/>
      <c r="C23" s="1" t="n"/>
      <c r="D23" s="1" t="n"/>
      <c r="E23" s="1" t="n"/>
      <c r="F23" s="1" t="n"/>
      <c r="G23" s="1" t="n"/>
    </row>
  </sheetData>
  <mergeCells count="6">
    <mergeCell ref="A10:F10"/>
    <mergeCell ref="A1:G1"/>
    <mergeCell ref="A21:G23"/>
    <mergeCell ref="A20:G20"/>
    <mergeCell ref="A2:G2"/>
    <mergeCell ref="A17:B1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2" customWidth="1" min="4" max="4"/>
    <col width="16" customWidth="1" min="5" max="5"/>
    <col width="14" customWidth="1" min="6" max="6"/>
    <col width="17" customWidth="1" min="7" max="7"/>
    <col width="13" customWidth="1" min="8" max="8"/>
    <col width="16" customWidth="1" min="9" max="9"/>
  </cols>
  <sheetData>
    <row r="1" ht="30" customHeight="1">
      <c r="A1" s="9" t="inlineStr">
        <is>
          <t>Detalle de Material Directo (MD)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7" t="inlineStr">
        <is>
          <t>Cantidades por unidad de producto inferidas de los consumos proyectados observados en V-Logistics. Los materiales sin consumo observado se dejan en 0 y pueden ajustarse si la plataforma muestra otra composición.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4">
      <c r="A4" s="22" t="inlineStr">
        <is>
          <t>ID</t>
        </is>
      </c>
      <c r="B4" s="22" t="inlineStr">
        <is>
          <t>Materia prima</t>
        </is>
      </c>
      <c r="C4" s="22" t="inlineStr">
        <is>
          <t>Precio unitario</t>
        </is>
      </c>
      <c r="D4" s="22" t="inlineStr">
        <is>
          <t>Cant. Moto</t>
        </is>
      </c>
      <c r="E4" s="22" t="inlineStr">
        <is>
          <t>Costo Moto</t>
        </is>
      </c>
      <c r="F4" s="22" t="inlineStr">
        <is>
          <t>Cant. Cuatrimoto</t>
        </is>
      </c>
      <c r="G4" s="22" t="inlineStr">
        <is>
          <t>Costo Cuatrimoto</t>
        </is>
      </c>
      <c r="H4" s="22" t="inlineStr">
        <is>
          <t>Cant. Tractor</t>
        </is>
      </c>
      <c r="I4" s="22" t="inlineStr">
        <is>
          <t>Costo Tractor</t>
        </is>
      </c>
    </row>
    <row r="5">
      <c r="A5" s="36" t="n">
        <v>1</v>
      </c>
      <c r="B5" s="36" t="inlineStr">
        <is>
          <t>CUARTO LADRILLO AZUL</t>
        </is>
      </c>
      <c r="C5" s="55" t="n">
        <v>10000</v>
      </c>
      <c r="D5" s="36" t="n">
        <v>1</v>
      </c>
      <c r="E5" s="55">
        <f>C5*D5</f>
        <v/>
      </c>
      <c r="F5" s="36" t="n">
        <v>2</v>
      </c>
      <c r="G5" s="55">
        <f>C5*F5</f>
        <v/>
      </c>
      <c r="H5" s="36" t="n">
        <v>2</v>
      </c>
      <c r="I5" s="55">
        <f>C5*H5</f>
        <v/>
      </c>
    </row>
    <row r="6">
      <c r="A6" s="36" t="n">
        <v>2</v>
      </c>
      <c r="B6" s="36" t="inlineStr">
        <is>
          <t>MEDIO LADRILLO AZUL</t>
        </is>
      </c>
      <c r="C6" s="55" t="n">
        <v>20000</v>
      </c>
      <c r="D6" s="36" t="n">
        <v>6</v>
      </c>
      <c r="E6" s="55">
        <f>C6*D6</f>
        <v/>
      </c>
      <c r="F6" s="36" t="n">
        <v>6</v>
      </c>
      <c r="G6" s="55">
        <f>C6*F6</f>
        <v/>
      </c>
      <c r="H6" s="36" t="n">
        <v>6</v>
      </c>
      <c r="I6" s="55">
        <f>C6*H6</f>
        <v/>
      </c>
    </row>
    <row r="7">
      <c r="A7" s="36" t="n">
        <v>3</v>
      </c>
      <c r="B7" s="36" t="inlineStr">
        <is>
          <t>LADRILLO COMPLETO AZUL</t>
        </is>
      </c>
      <c r="C7" s="55" t="n">
        <v>40000</v>
      </c>
      <c r="D7" s="36" t="n">
        <v>8</v>
      </c>
      <c r="E7" s="55">
        <f>C7*D7</f>
        <v/>
      </c>
      <c r="F7" s="36" t="n">
        <v>8</v>
      </c>
      <c r="G7" s="55">
        <f>C7*F7</f>
        <v/>
      </c>
      <c r="H7" s="36" t="n">
        <v>8</v>
      </c>
      <c r="I7" s="55">
        <f>C7*H7</f>
        <v/>
      </c>
    </row>
    <row r="8">
      <c r="A8" s="36" t="n">
        <v>4</v>
      </c>
      <c r="B8" s="36" t="inlineStr">
        <is>
          <t>LADRILLO TRIANGULAR AZUL</t>
        </is>
      </c>
      <c r="C8" s="55" t="n">
        <v>25000</v>
      </c>
      <c r="D8" s="36" t="n">
        <v>2</v>
      </c>
      <c r="E8" s="55">
        <f>C8*D8</f>
        <v/>
      </c>
      <c r="F8" s="36" t="n">
        <v>2</v>
      </c>
      <c r="G8" s="55">
        <f>C8*F8</f>
        <v/>
      </c>
      <c r="H8" s="36" t="n">
        <v>2</v>
      </c>
      <c r="I8" s="55">
        <f>C8*H8</f>
        <v/>
      </c>
    </row>
    <row r="9">
      <c r="A9" s="36" t="n">
        <v>5</v>
      </c>
      <c r="B9" s="36" t="inlineStr">
        <is>
          <t>DINTEL SIMPLE AMARILLO</t>
        </is>
      </c>
      <c r="C9" s="55" t="n">
        <v>20000</v>
      </c>
      <c r="D9" s="36" t="n">
        <v>2</v>
      </c>
      <c r="E9" s="55">
        <f>C9*D9</f>
        <v/>
      </c>
      <c r="F9" s="36" t="n">
        <v>1</v>
      </c>
      <c r="G9" s="55">
        <f>C9*F9</f>
        <v/>
      </c>
      <c r="H9" s="36" t="n">
        <v>3</v>
      </c>
      <c r="I9" s="55">
        <f>C9*H9</f>
        <v/>
      </c>
    </row>
    <row r="10">
      <c r="A10" s="36" t="n">
        <v>6</v>
      </c>
      <c r="B10" s="36" t="inlineStr">
        <is>
          <t>DINTEL DOBLE AMARILLO</t>
        </is>
      </c>
      <c r="C10" s="55" t="n">
        <v>40000</v>
      </c>
      <c r="D10" s="36" t="n">
        <v>2</v>
      </c>
      <c r="E10" s="55">
        <f>C10*D10</f>
        <v/>
      </c>
      <c r="F10" s="36" t="n">
        <v>4</v>
      </c>
      <c r="G10" s="55">
        <f>C10*F10</f>
        <v/>
      </c>
      <c r="H10" s="36" t="n">
        <v>3</v>
      </c>
      <c r="I10" s="55">
        <f>C10*H10</f>
        <v/>
      </c>
    </row>
    <row r="11">
      <c r="A11" s="36" t="n">
        <v>7</v>
      </c>
      <c r="B11" s="36" t="inlineStr">
        <is>
          <t>DINTEL TRIPLE AMARILLO</t>
        </is>
      </c>
      <c r="C11" s="55" t="n">
        <v>100000</v>
      </c>
      <c r="D11" s="36" t="n">
        <v>0</v>
      </c>
      <c r="E11" s="55">
        <f>C11*D11</f>
        <v/>
      </c>
      <c r="F11" s="36" t="n">
        <v>0</v>
      </c>
      <c r="G11" s="55">
        <f>C11*F11</f>
        <v/>
      </c>
      <c r="H11" s="36" t="n">
        <v>3</v>
      </c>
      <c r="I11" s="55">
        <f>C11*H11</f>
        <v/>
      </c>
    </row>
    <row r="12">
      <c r="A12" s="36" t="n">
        <v>8</v>
      </c>
      <c r="B12" s="36" t="inlineStr">
        <is>
          <t>BLOQUE REDONDO SENCILLO AMARILLO</t>
        </is>
      </c>
      <c r="C12" s="55" t="n">
        <v>50000</v>
      </c>
      <c r="D12" s="36" t="n">
        <v>7</v>
      </c>
      <c r="E12" s="55">
        <f>C12*D12</f>
        <v/>
      </c>
      <c r="F12" s="36" t="n">
        <v>0</v>
      </c>
      <c r="G12" s="55">
        <f>C12*F12</f>
        <v/>
      </c>
      <c r="H12" s="36" t="n">
        <v>3</v>
      </c>
      <c r="I12" s="55">
        <f>C12*H12</f>
        <v/>
      </c>
    </row>
    <row r="13">
      <c r="A13" s="36" t="n">
        <v>9</v>
      </c>
      <c r="B13" s="36" t="inlineStr">
        <is>
          <t>MEDIO BLOQUE REDONDO AMARILLO</t>
        </is>
      </c>
      <c r="C13" s="55" t="n">
        <v>40000</v>
      </c>
      <c r="D13" s="36" t="n">
        <v>0</v>
      </c>
      <c r="E13" s="55">
        <f>C13*D13</f>
        <v/>
      </c>
      <c r="F13" s="36" t="n">
        <v>2</v>
      </c>
      <c r="G13" s="55">
        <f>C13*F13</f>
        <v/>
      </c>
      <c r="H13" s="36" t="n">
        <v>2</v>
      </c>
      <c r="I13" s="55">
        <f>C13*H13</f>
        <v/>
      </c>
    </row>
    <row r="14">
      <c r="A14" s="36" t="n">
        <v>10</v>
      </c>
      <c r="B14" s="36" t="inlineStr">
        <is>
          <t>BLOQUE REDONDO MACHO-MACHO AMARILLO</t>
        </is>
      </c>
      <c r="C14" s="55" t="n">
        <v>50000</v>
      </c>
      <c r="D14" s="36" t="n">
        <v>8</v>
      </c>
      <c r="E14" s="55">
        <f>C14*D14</f>
        <v/>
      </c>
      <c r="F14" s="36" t="n">
        <v>0</v>
      </c>
      <c r="G14" s="55">
        <f>C14*F14</f>
        <v/>
      </c>
      <c r="H14" s="36" t="n">
        <v>2</v>
      </c>
      <c r="I14" s="55">
        <f>C14*H14</f>
        <v/>
      </c>
    </row>
    <row r="15">
      <c r="A15" s="36" t="n">
        <v>11</v>
      </c>
      <c r="B15" s="36" t="inlineStr">
        <is>
          <t>BLOQUE REDONDO HEMBRA-HEMBRA AMARILLO</t>
        </is>
      </c>
      <c r="C15" s="55" t="n">
        <v>50000</v>
      </c>
      <c r="D15" s="36" t="n">
        <v>3</v>
      </c>
      <c r="E15" s="55">
        <f>C15*D15</f>
        <v/>
      </c>
      <c r="F15" s="36" t="n">
        <v>0</v>
      </c>
      <c r="G15" s="55">
        <f>C15*F15</f>
        <v/>
      </c>
      <c r="H15" s="36" t="n">
        <v>2</v>
      </c>
      <c r="I15" s="55">
        <f>C15*H15</f>
        <v/>
      </c>
    </row>
    <row r="16">
      <c r="A16" s="36" t="n">
        <v>12</v>
      </c>
      <c r="B16" s="36" t="inlineStr">
        <is>
          <t>CARRETE DE ESPIGAS AMARILLO</t>
        </is>
      </c>
      <c r="C16" s="55" t="n">
        <v>50000</v>
      </c>
      <c r="D16" s="36" t="n">
        <v>0</v>
      </c>
      <c r="E16" s="55">
        <f>C16*D16</f>
        <v/>
      </c>
      <c r="F16" s="36" t="n">
        <v>0</v>
      </c>
      <c r="G16" s="55">
        <f>C16*F16</f>
        <v/>
      </c>
      <c r="H16" s="36" t="n">
        <v>0</v>
      </c>
      <c r="I16" s="55">
        <f>C16*H16</f>
        <v/>
      </c>
    </row>
    <row r="17">
      <c r="A17" s="36" t="n">
        <v>13</v>
      </c>
      <c r="B17" s="36" t="inlineStr">
        <is>
          <t>PIÑÓN GRANDE AMARILLO</t>
        </is>
      </c>
      <c r="C17" s="55" t="n">
        <v>150000</v>
      </c>
      <c r="D17" s="36" t="n">
        <v>2</v>
      </c>
      <c r="E17" s="55">
        <f>C17*D17</f>
        <v/>
      </c>
      <c r="F17" s="36" t="n">
        <v>0</v>
      </c>
      <c r="G17" s="55">
        <f>C17*F17</f>
        <v/>
      </c>
      <c r="H17" s="36" t="n">
        <v>0</v>
      </c>
      <c r="I17" s="55">
        <f>C17*H17</f>
        <v/>
      </c>
    </row>
    <row r="18">
      <c r="A18" s="36" t="n">
        <v>14</v>
      </c>
      <c r="B18" s="36" t="inlineStr">
        <is>
          <t>PIÑÓN PEQUEÑO AMARILLO</t>
        </is>
      </c>
      <c r="C18" s="55" t="n">
        <v>50000</v>
      </c>
      <c r="D18" s="36" t="n">
        <v>0</v>
      </c>
      <c r="E18" s="55">
        <f>C18*D18</f>
        <v/>
      </c>
      <c r="F18" s="36" t="n">
        <v>4</v>
      </c>
      <c r="G18" s="55">
        <f>C18*F18</f>
        <v/>
      </c>
      <c r="H18" s="36" t="n">
        <v>4</v>
      </c>
      <c r="I18" s="55">
        <f>C18*H18</f>
        <v/>
      </c>
    </row>
    <row r="19">
      <c r="A19" s="36" t="n">
        <v>15</v>
      </c>
      <c r="B19" s="36" t="inlineStr">
        <is>
          <t>PIÑÓN CÓNICO AMARILLO</t>
        </is>
      </c>
      <c r="C19" s="55" t="n">
        <v>50000</v>
      </c>
      <c r="D19" s="36" t="n">
        <v>0</v>
      </c>
      <c r="E19" s="55">
        <f>C19*D19</f>
        <v/>
      </c>
      <c r="F19" s="36" t="n">
        <v>0</v>
      </c>
      <c r="G19" s="55">
        <f>C19*F19</f>
        <v/>
      </c>
      <c r="H19" s="36" t="n">
        <v>0</v>
      </c>
      <c r="I19" s="55">
        <f>C19*H19</f>
        <v/>
      </c>
    </row>
    <row r="20">
      <c r="A20" s="36" t="n">
        <v>16</v>
      </c>
      <c r="B20" s="36" t="inlineStr">
        <is>
          <t>VIGA SIMPLE GRIS</t>
        </is>
      </c>
      <c r="C20" s="55" t="n">
        <v>50000</v>
      </c>
      <c r="D20" s="36" t="n">
        <v>8</v>
      </c>
      <c r="E20" s="55">
        <f>C20*D20</f>
        <v/>
      </c>
      <c r="F20" s="36" t="n">
        <v>5</v>
      </c>
      <c r="G20" s="55">
        <f>C20*F20</f>
        <v/>
      </c>
      <c r="H20" s="36" t="n">
        <v>3</v>
      </c>
      <c r="I20" s="55">
        <f>C20*H20</f>
        <v/>
      </c>
    </row>
    <row r="21">
      <c r="A21" s="36" t="n">
        <v>17</v>
      </c>
      <c r="B21" s="36" t="inlineStr">
        <is>
          <t>VIGA DOBLE GRIS</t>
        </is>
      </c>
      <c r="C21" s="55" t="n">
        <v>100000</v>
      </c>
      <c r="D21" s="36" t="n">
        <v>2</v>
      </c>
      <c r="E21" s="55">
        <f>C21*D21</f>
        <v/>
      </c>
      <c r="F21" s="36" t="n">
        <v>0</v>
      </c>
      <c r="G21" s="55">
        <f>C21*F21</f>
        <v/>
      </c>
      <c r="H21" s="36" t="n">
        <v>0</v>
      </c>
      <c r="I21" s="55">
        <f>C21*H21</f>
        <v/>
      </c>
    </row>
    <row r="22">
      <c r="A22" s="36" t="n">
        <v>18</v>
      </c>
      <c r="B22" s="36" t="inlineStr">
        <is>
          <t>VIGA TRIPLE GRIS</t>
        </is>
      </c>
      <c r="C22" s="55" t="n">
        <v>150000</v>
      </c>
      <c r="D22" s="36" t="n">
        <v>2</v>
      </c>
      <c r="E22" s="55">
        <f>C22*D22</f>
        <v/>
      </c>
      <c r="F22" s="36" t="n">
        <v>0</v>
      </c>
      <c r="G22" s="55">
        <f>C22*F22</f>
        <v/>
      </c>
      <c r="H22" s="36" t="n">
        <v>0</v>
      </c>
      <c r="I22" s="55">
        <f>C22*H22</f>
        <v/>
      </c>
    </row>
    <row r="23">
      <c r="A23" s="36" t="n">
        <v>19</v>
      </c>
      <c r="B23" s="36" t="inlineStr">
        <is>
          <t>BLOQUE DE EJES NEGRO</t>
        </is>
      </c>
      <c r="C23" s="55" t="n">
        <v>50000</v>
      </c>
      <c r="D23" s="36" t="n">
        <v>3</v>
      </c>
      <c r="E23" s="55">
        <f>C23*D23</f>
        <v/>
      </c>
      <c r="F23" s="36" t="n">
        <v>4</v>
      </c>
      <c r="G23" s="55">
        <f>C23*F23</f>
        <v/>
      </c>
      <c r="H23" s="36" t="n">
        <v>4</v>
      </c>
      <c r="I23" s="55">
        <f>C23*H23</f>
        <v/>
      </c>
    </row>
    <row r="24">
      <c r="A24" s="36" t="n">
        <v>20</v>
      </c>
      <c r="B24" s="36" t="inlineStr">
        <is>
          <t>CILINDRO NEGRO</t>
        </is>
      </c>
      <c r="C24" s="55" t="n">
        <v>5000</v>
      </c>
      <c r="D24" s="36" t="n">
        <v>0</v>
      </c>
      <c r="E24" s="55">
        <f>C24*D24</f>
        <v/>
      </c>
      <c r="F24" s="36" t="n">
        <v>0</v>
      </c>
      <c r="G24" s="55">
        <f>C24*F24</f>
        <v/>
      </c>
      <c r="H24" s="36" t="n">
        <v>0</v>
      </c>
      <c r="I24" s="55">
        <f>C24*H24</f>
        <v/>
      </c>
    </row>
    <row r="25">
      <c r="A25" s="36" t="n">
        <v>21</v>
      </c>
      <c r="B25" s="36" t="inlineStr">
        <is>
          <t>COLUMNA NEGRA</t>
        </is>
      </c>
      <c r="C25" s="55" t="n">
        <v>5000</v>
      </c>
      <c r="D25" s="36" t="n">
        <v>1</v>
      </c>
      <c r="E25" s="55">
        <f>C25*D25</f>
        <v/>
      </c>
      <c r="F25" s="36" t="n">
        <v>0</v>
      </c>
      <c r="G25" s="55">
        <f>C25*F25</f>
        <v/>
      </c>
      <c r="H25" s="36" t="n">
        <v>2</v>
      </c>
      <c r="I25" s="55">
        <f>C25*H25</f>
        <v/>
      </c>
    </row>
    <row r="26">
      <c r="A26" s="36" t="n">
        <v>22</v>
      </c>
      <c r="B26" s="36" t="inlineStr">
        <is>
          <t>ESLABÓN DE ORUGA NEGRO</t>
        </is>
      </c>
      <c r="C26" s="55" t="n">
        <v>4000</v>
      </c>
      <c r="D26" s="36" t="n">
        <v>28</v>
      </c>
      <c r="E26" s="55">
        <f>C26*D26</f>
        <v/>
      </c>
      <c r="F26" s="36" t="n">
        <v>32</v>
      </c>
      <c r="G26" s="55">
        <f>C26*F26</f>
        <v/>
      </c>
      <c r="H26" s="36" t="n">
        <v>40</v>
      </c>
      <c r="I26" s="55">
        <f>C26*H26</f>
        <v/>
      </c>
    </row>
    <row r="27">
      <c r="A27" s="36" t="n">
        <v>23</v>
      </c>
      <c r="B27" s="36" t="inlineStr">
        <is>
          <t>PIN TRIPLE AZUL</t>
        </is>
      </c>
      <c r="C27" s="55" t="n">
        <v>40000</v>
      </c>
      <c r="D27" s="36" t="n">
        <v>3</v>
      </c>
      <c r="E27" s="55">
        <f>C27*D27</f>
        <v/>
      </c>
      <c r="F27" s="36" t="n">
        <v>4</v>
      </c>
      <c r="G27" s="55">
        <f>C27*F27</f>
        <v/>
      </c>
      <c r="H27" s="36" t="n">
        <v>0</v>
      </c>
      <c r="I27" s="55">
        <f>C27*H27</f>
        <v/>
      </c>
    </row>
    <row r="28">
      <c r="A28" s="36" t="n">
        <v>24</v>
      </c>
      <c r="B28" s="36" t="inlineStr">
        <is>
          <t>PIN DOBLE AZUL</t>
        </is>
      </c>
      <c r="C28" s="55" t="n">
        <v>30000</v>
      </c>
      <c r="D28" s="36" t="n">
        <v>6</v>
      </c>
      <c r="E28" s="55">
        <f>C28*D28</f>
        <v/>
      </c>
      <c r="F28" s="36" t="n">
        <v>4</v>
      </c>
      <c r="G28" s="55">
        <f>C28*F28</f>
        <v/>
      </c>
      <c r="H28" s="36" t="n">
        <v>0</v>
      </c>
      <c r="I28" s="55">
        <f>C28*H28</f>
        <v/>
      </c>
    </row>
    <row r="29">
      <c r="A29" s="36" t="n">
        <v>25</v>
      </c>
      <c r="B29" s="36" t="inlineStr">
        <is>
          <t>PIN SIMPLE AZUL</t>
        </is>
      </c>
      <c r="C29" s="55" t="n">
        <v>20000</v>
      </c>
      <c r="D29" s="36" t="n">
        <v>2</v>
      </c>
      <c r="E29" s="55">
        <f>C29*D29</f>
        <v/>
      </c>
      <c r="F29" s="36" t="n">
        <v>0</v>
      </c>
      <c r="G29" s="55">
        <f>C29*F29</f>
        <v/>
      </c>
      <c r="H29" s="36" t="n">
        <v>4</v>
      </c>
      <c r="I29" s="55">
        <f>C29*H29</f>
        <v/>
      </c>
    </row>
    <row r="30">
      <c r="A30" s="36" t="n">
        <v>26</v>
      </c>
      <c r="B30" s="36" t="inlineStr">
        <is>
          <t>TOPE DE EJE AMARILLO</t>
        </is>
      </c>
      <c r="C30" s="55" t="n">
        <v>5000</v>
      </c>
      <c r="D30" s="36" t="n">
        <v>4</v>
      </c>
      <c r="E30" s="55">
        <f>C30*D30</f>
        <v/>
      </c>
      <c r="F30" s="36" t="n">
        <v>4</v>
      </c>
      <c r="G30" s="55">
        <f>C30*F30</f>
        <v/>
      </c>
      <c r="H30" s="36" t="n">
        <v>4</v>
      </c>
      <c r="I30" s="55">
        <f>C30*H30</f>
        <v/>
      </c>
    </row>
    <row r="31">
      <c r="A31" s="36" t="n">
        <v>27</v>
      </c>
      <c r="B31" s="36" t="inlineStr">
        <is>
          <t>EJE HEXAGONAL 3.5 CM</t>
        </is>
      </c>
      <c r="C31" s="55" t="n">
        <v>300000</v>
      </c>
      <c r="D31" s="36" t="n">
        <v>0</v>
      </c>
      <c r="E31" s="55">
        <f>C31*D31</f>
        <v/>
      </c>
      <c r="F31" s="36" t="n">
        <v>0</v>
      </c>
      <c r="G31" s="55">
        <f>C31*F31</f>
        <v/>
      </c>
      <c r="H31" s="36" t="n">
        <v>0</v>
      </c>
      <c r="I31" s="55">
        <f>C31*H31</f>
        <v/>
      </c>
    </row>
    <row r="32">
      <c r="A32" s="36" t="n">
        <v>28</v>
      </c>
      <c r="B32" s="36" t="inlineStr">
        <is>
          <t>EJE HEXAGONAL 6.5 CM</t>
        </is>
      </c>
      <c r="C32" s="55" t="n">
        <v>300000</v>
      </c>
      <c r="D32" s="36" t="n">
        <v>2</v>
      </c>
      <c r="E32" s="55">
        <f>C32*D32</f>
        <v/>
      </c>
      <c r="F32" s="36" t="n">
        <v>0</v>
      </c>
      <c r="G32" s="55">
        <f>C32*F32</f>
        <v/>
      </c>
      <c r="H32" s="36" t="n">
        <v>0</v>
      </c>
      <c r="I32" s="55">
        <f>C32*H32</f>
        <v/>
      </c>
    </row>
    <row r="33">
      <c r="A33" s="36" t="n">
        <v>29</v>
      </c>
      <c r="B33" s="36" t="inlineStr">
        <is>
          <t>EJE HEXAGONAL 10 CM</t>
        </is>
      </c>
      <c r="C33" s="55" t="n">
        <v>550000</v>
      </c>
      <c r="D33" s="36" t="n">
        <v>0</v>
      </c>
      <c r="E33" s="55">
        <f>C33*D33</f>
        <v/>
      </c>
      <c r="F33" s="36" t="n">
        <v>2</v>
      </c>
      <c r="G33" s="55">
        <f>C33*F33</f>
        <v/>
      </c>
      <c r="H33" s="36" t="n">
        <v>2</v>
      </c>
      <c r="I33" s="55">
        <f>C33*H33</f>
        <v/>
      </c>
    </row>
    <row r="34">
      <c r="A34" s="36" t="n"/>
      <c r="B34" s="36" t="n"/>
      <c r="C34" s="36" t="n"/>
      <c r="D34" s="36" t="n"/>
      <c r="E34" s="55" t="n"/>
      <c r="F34" s="36" t="n"/>
      <c r="G34" s="55" t="n"/>
      <c r="H34" s="36" t="n"/>
      <c r="I34" s="55" t="n"/>
    </row>
    <row r="35">
      <c r="A35" s="42" t="inlineStr">
        <is>
          <t>TOTAL MATERIAL DIRECTO POR UNIDAD</t>
        </is>
      </c>
      <c r="B35" s="1" t="n"/>
      <c r="C35" s="1" t="n"/>
      <c r="D35" s="1" t="n"/>
      <c r="E35" s="58">
        <f>SUM(E5:E33)</f>
        <v/>
      </c>
      <c r="F35" s="38" t="n"/>
      <c r="G35" s="58">
        <f>SUM(G5:G33)</f>
        <v/>
      </c>
      <c r="H35" s="38" t="n"/>
      <c r="I35" s="58">
        <f>SUM(I5:I33)</f>
        <v/>
      </c>
    </row>
  </sheetData>
  <mergeCells count="3">
    <mergeCell ref="A1:I1"/>
    <mergeCell ref="A35:D35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2026-10-03T12:17:51Z</dcterms:created>
  <dcterms:modified xsi:type="dcterms:W3CDTF">2026-10-03T12:17:51Z</dcterms:modified>
</cp:coreProperties>
</file>