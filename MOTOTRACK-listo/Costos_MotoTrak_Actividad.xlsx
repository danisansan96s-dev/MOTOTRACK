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629f972cb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os" sheetId="1" r:id="R7b23ba8c31474d75"/>
    <x:sheet xmlns:r="http://schemas.openxmlformats.org/officeDocument/2006/relationships" name="Detalle_MD" sheetId="2" r:id="R1381eb1d902743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7691a580a48e9" /><Relationship Type="http://schemas.openxmlformats.org/officeDocument/2006/relationships/theme" Target="/xl/theme/theme1.xml" Id="Re87e95061ffb4d91" /><Relationship Type="http://schemas.openxmlformats.org/officeDocument/2006/relationships/sharedStrings" Target="/xl/sharedStrings.xml" Id="R22b6f597b7784038" /><Relationship Type="http://schemas.openxmlformats.org/officeDocument/2006/relationships/worksheet" Target="/xl/worksheets/sheet1.xml" Id="R7b23ba8c31474d75" /><Relationship Type="http://schemas.openxmlformats.org/officeDocument/2006/relationships/worksheet" Target="/xl/worksheets/sheet2.xml" Id="R1381eb1d90274380" /></Relationships>
</file>

<file path=xl/tables/table1.xml><?xml version="1.0" encoding="utf-8"?>
<x:table xmlns:x="http://schemas.openxmlformats.org/spreadsheetml/2006/main" id="1" name="TablaCostos" displayName="TablaCostos" ref="A4:G7" headerRowCount="1" totalsRowCount="0" totalsRowShown="0">
  <x:tableColumns count="7">
    <x:tableColumn id="1" name="Producto"/>
    <x:tableColumn id="2" name="Precio de venta"/>
    <x:tableColumn id="3" name="MD por unidad"/>
    <x:tableColumn id="4" name="MOD por unidad"/>
    <x:tableColumn id="5" name="Costo fabricación"/>
    <x:tableColumn id="6" name="Utilidad unitaria"/>
    <x:tableColumn id="7" name="Margen sobre ven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DetalleMD" displayName="TablaDetalleMD" ref="A4:I33" headerRowCount="1" totalsRowCount="0" totalsRowShown="0">
  <x:tableColumns count="9">
    <x:tableColumn id="1" name="ID"/>
    <x:tableColumn id="2" name="Materia prima"/>
    <x:tableColumn id="3" name="Precio unitario"/>
    <x:tableColumn id="4" name="Cant. Moto"/>
    <x:tableColumn id="5" name="Costo Moto"/>
    <x:tableColumn id="6" name="Cant. Cuatrimoto"/>
    <x:tableColumn id="7" name="Costo Cuatrimoto"/>
    <x:tableColumn id="8" name="Cant. Tractor"/>
    <x:tableColumn id="9" name="Costo Tract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bd09e6189c44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0834e8147c473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7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50" t="str">
        <x:v>COSTOS DE FABRICACIÓN MOTOTRAK</x:v>
      </x:c>
      <x:c r="B1" s="50"/>
      <x:c r="C1" s="50"/>
      <x:c r="D1" s="50"/>
      <x:c r="E1" s="50"/>
      <x:c r="F1" s="50"/>
      <x:c r="G1" s="50"/>
    </x:row>
    <x:row r="2" ht="30" customHeight="1">
      <x:c r="A2" s="13" t="str">
        <x:v>Base para clasificación ABC-XYZ. Incluye únicamente Material Directo (MD) + Mano de Obra Directa (MOD). No incluye transporte ni costos fijos, de acuerdo con la actividad.</x:v>
      </x:c>
      <x:c r="B2" s="13"/>
      <x:c r="C2" s="13"/>
      <x:c r="D2" s="13"/>
      <x:c r="E2" s="13"/>
      <x:c r="F2" s="13"/>
      <x:c r="G2" s="13"/>
    </x:row>
    <x:row r="3">
      <x:c r="A3" s="36"/>
      <x:c r="B3" s="36"/>
      <x:c r="C3" s="36"/>
      <x:c r="D3" s="36"/>
      <x:c r="E3" s="36"/>
      <x:c r="F3" s="36"/>
      <x:c r="G3" s="36"/>
    </x:row>
    <x:row r="4">
      <x:c r="A4" s="22" t="str">
        <x:v>Producto</x:v>
      </x:c>
      <x:c r="B4" s="22" t="str">
        <x:v>Precio de venta</x:v>
      </x:c>
      <x:c r="C4" s="22" t="str">
        <x:v>MD por unidad</x:v>
      </x:c>
      <x:c r="D4" s="22" t="str">
        <x:v>MOD por unidad</x:v>
      </x:c>
      <x:c r="E4" s="22" t="str">
        <x:v>Costo fabricación</x:v>
      </x:c>
      <x:c r="F4" s="22" t="str">
        <x:v>Utilidad unitaria</x:v>
      </x:c>
      <x:c r="G4" s="22" t="str">
        <x:v>Margen sobre venta</x:v>
      </x:c>
    </x:row>
    <x:row r="5">
      <x:c r="A5" s="36" t="str">
        <x:v>Moto</x:v>
      </x:c>
      <x:c r="B5" s="37" t="n">
        <x:v>7000000</x:v>
      </x:c>
      <x:c r="C5" s="37" t="n">
        <x:f>Detalle_MD!E35</x:f>
        <x:v>3947000</x:v>
      </x:c>
      <x:c r="D5" s="37" t="n">
        <x:v>1642500</x:v>
      </x:c>
      <x:c r="E5" s="37" t="n">
        <x:f>C5+D5</x:f>
        <x:v>5589500</x:v>
      </x:c>
      <x:c r="F5" s="37" t="n">
        <x:f>B5-E5</x:f>
        <x:v>1410500</x:v>
      </x:c>
      <x:c r="G5" s="51" t="n">
        <x:f>F5/B5</x:f>
        <x:v>0.2015</x:v>
      </x:c>
    </x:row>
    <x:row r="6">
      <x:c r="A6" s="36" t="str">
        <x:v>Cuatrimoto</x:v>
      </x:c>
      <x:c r="B6" s="37" t="n">
        <x:v>9000000</x:v>
      </x:c>
      <x:c r="C6" s="37" t="n">
        <x:f>Detalle_MD!G35</x:f>
        <x:v>2948000</x:v>
      </x:c>
      <x:c r="D6" s="37" t="n">
        <x:v>1378500</x:v>
      </x:c>
      <x:c r="E6" s="37" t="n">
        <x:f>C6+D6</x:f>
        <x:v>4326500</x:v>
      </x:c>
      <x:c r="F6" s="37" t="n">
        <x:f>B6-E6</x:f>
        <x:v>4673500</x:v>
      </x:c>
      <x:c r="G6" s="51" t="n">
        <x:f>F6/B6</x:f>
        <x:v>0.5192777777777777</x:v>
      </x:c>
    </x:row>
    <x:row r="7">
      <x:c r="A7" s="36" t="str">
        <x:v>Tractor</x:v>
      </x:c>
      <x:c r="B7" s="37" t="n">
        <x:v>11000000</x:v>
      </x:c>
      <x:c r="C7" s="37" t="n">
        <x:f>Detalle_MD!I35</x:f>
        <x:v>3340000</x:v>
      </x:c>
      <x:c r="D7" s="37" t="n">
        <x:v>1665000</x:v>
      </x:c>
      <x:c r="E7" s="37" t="n">
        <x:f>C7+D7</x:f>
        <x:v>5005000</x:v>
      </x:c>
      <x:c r="F7" s="37" t="n">
        <x:f>B7-E7</x:f>
        <x:v>5995000</x:v>
      </x:c>
      <x:c r="G7" s="51" t="n">
        <x:f>F7/B7</x:f>
        <x:v>0.545</x:v>
      </x:c>
    </x:row>
    <x:row r="8">
      <x:c r="A8" s="36"/>
      <x:c r="B8" s="36"/>
      <x:c r="C8" s="36"/>
      <x:c r="D8" s="36"/>
      <x:c r="E8" s="36"/>
      <x:c r="F8" s="36"/>
      <x:c r="G8" s="36"/>
    </x:row>
    <x:row r="9">
      <x:c r="A9" s="36"/>
      <x:c r="B9" s="36"/>
      <x:c r="C9" s="36"/>
      <x:c r="D9" s="36"/>
      <x:c r="E9" s="36"/>
      <x:c r="F9" s="36"/>
      <x:c r="G9" s="36"/>
    </x:row>
    <x:row r="10">
      <x:c r="A10" s="52" t="str">
        <x:v>Cálculo de MOD por estación de trabajo</x:v>
      </x:c>
      <x:c r="B10" s="52"/>
      <x:c r="C10" s="52"/>
      <x:c r="D10" s="52"/>
      <x:c r="E10" s="52"/>
      <x:c r="F10" s="52"/>
      <x:c r="G10" s="36"/>
    </x:row>
    <x:row r="11">
      <x:c r="A11" s="22" t="str">
        <x:v>Estación</x:v>
      </x:c>
      <x:c r="B11" s="22" t="str">
        <x:v>$ / unidad de tiempo</x:v>
      </x:c>
      <x:c r="C11" s="22" t="str">
        <x:v>Tiempo Moto</x:v>
      </x:c>
      <x:c r="D11" s="22" t="str">
        <x:v>Tiempo Cuatrimoto</x:v>
      </x:c>
      <x:c r="E11" s="22" t="str">
        <x:v>Tiempo Tractor</x:v>
      </x:c>
      <x:c r="F11" s="22" t="str">
        <x:v>Observación</x:v>
      </x:c>
      <x:c r="G11" s="36"/>
    </x:row>
    <x:row r="12">
      <x:c r="A12" s="36" t="str">
        <x:v>Armar Base</x:v>
      </x:c>
      <x:c r="B12" s="37" t="n">
        <x:v>3000</x:v>
      </x:c>
      <x:c r="C12" s="36" t="n">
        <x:v>20</x:v>
      </x:c>
      <x:c r="D12" s="36" t="n">
        <x:v>20</x:v>
      </x:c>
      <x:c r="E12" s="36" t="n">
        <x:v>20</x:v>
      </x:c>
      <x:c r="F12" s="36" t="str">
        <x:v>Tiempo × tarifa</x:v>
      </x:c>
      <x:c r="G12" s="36"/>
    </x:row>
    <x:row r="13">
      <x:c r="A13" s="36" t="str">
        <x:v>Armar Chasís</x:v>
      </x:c>
      <x:c r="B13" s="37" t="n">
        <x:v>4000</x:v>
      </x:c>
      <x:c r="C13" s="36" t="n">
        <x:v>180</x:v>
      </x:c>
      <x:c r="D13" s="36" t="n">
        <x:v>89</x:v>
      </x:c>
      <x:c r="E13" s="36" t="n">
        <x:v>245</x:v>
      </x:c>
      <x:c r="F13" s="36" t="str">
        <x:v>Tiempo × tarifa</x:v>
      </x:c>
      <x:c r="G13" s="36"/>
    </x:row>
    <x:row r="14">
      <x:c r="A14" s="36" t="str">
        <x:v>Rueda - Oruga</x:v>
      </x:c>
      <x:c r="B14" s="37" t="n">
        <x:v>2500</x:v>
      </x:c>
      <x:c r="C14" s="36" t="n">
        <x:v>295</x:v>
      </x:c>
      <x:c r="D14" s="36" t="n">
        <x:v>235</x:v>
      </x:c>
      <x:c r="E14" s="36" t="n">
        <x:v>150</x:v>
      </x:c>
      <x:c r="F14" s="36" t="str">
        <x:v>Tiempo × tarifa</x:v>
      </x:c>
      <x:c r="G14" s="36"/>
    </x:row>
    <x:row r="15">
      <x:c r="A15" s="36" t="str">
        <x:v>Asiento - Volante</x:v>
      </x:c>
      <x:c r="B15" s="37" t="n">
        <x:v>2500</x:v>
      </x:c>
      <x:c r="C15" s="36" t="n">
        <x:v>50</x:v>
      </x:c>
      <x:c r="D15" s="36" t="n">
        <x:v>150</x:v>
      </x:c>
      <x:c r="E15" s="36" t="n">
        <x:v>100</x:v>
      </x:c>
      <x:c r="F15" s="36" t="str">
        <x:v>Tiempo × tarifa</x:v>
      </x:c>
      <x:c r="G15" s="36"/>
    </x:row>
    <x:row r="16">
      <x:c r="A16" s="36"/>
      <x:c r="B16" s="36"/>
      <x:c r="C16" s="36"/>
      <x:c r="D16" s="36"/>
      <x:c r="E16" s="36"/>
      <x:c r="F16" s="36"/>
      <x:c r="G16" s="36"/>
    </x:row>
    <x:row r="17">
      <x:c r="A17" s="38" t="str">
        <x:v>MOD total por unidad</x:v>
      </x:c>
      <x:c r="B17" s="38"/>
      <x:c r="C17" s="39" t="n">
        <x:f>SUMPRODUCT(B12:B15,C12:C15)</x:f>
        <x:v>1642500</x:v>
      </x:c>
      <x:c r="D17" s="39" t="n">
        <x:f>SUMPRODUCT(B12:B15,D12:D15)</x:f>
        <x:v>1378500</x:v>
      </x:c>
      <x:c r="E17" s="39" t="n">
        <x:f>SUMPRODUCT(B12:B15,E12:E15)</x:f>
        <x:v>1665000</x:v>
      </x:c>
      <x:c r="F17" s="36"/>
      <x:c r="G17" s="36"/>
    </x:row>
    <x:row r="18">
      <x:c r="A18" s="36"/>
      <x:c r="B18" s="36"/>
      <x:c r="C18" s="36"/>
      <x:c r="D18" s="36"/>
      <x:c r="E18" s="36"/>
      <x:c r="F18" s="36"/>
      <x:c r="G18" s="36"/>
    </x:row>
    <x:row r="19">
      <x:c r="A19" s="36"/>
      <x:c r="B19" s="36"/>
      <x:c r="C19" s="36"/>
      <x:c r="D19" s="36"/>
      <x:c r="E19" s="36"/>
      <x:c r="F19" s="36"/>
      <x:c r="G19" s="36"/>
    </x:row>
    <x:row r="20">
      <x:c r="A20" s="53" t="str">
        <x:v>Notas para la aplicación</x:v>
      </x:c>
      <x:c r="B20" s="53"/>
      <x:c r="C20" s="53"/>
      <x:c r="D20" s="53"/>
      <x:c r="E20" s="53"/>
      <x:c r="F20" s="53"/>
      <x:c r="G20" s="53"/>
    </x:row>
    <x:row r="21" ht="24" customHeight="1">
      <x:c r="A21" s="13" t="str">
        <x:v>La hoja 'Costos' queda preparada como archivo de entrada para la app. La clasificación ABC debe usar la utilidad generada por SKU = demanda anual × utilidad unitaria. La clasificación XYZ debe usar Score%/MAE% del motor de pronósticos y no el CV. El RMSE debe conservarse para el cálculo posterior de stock de seguridad.</x:v>
      </x:c>
      <x:c r="B21" s="13"/>
      <x:c r="C21" s="13"/>
      <x:c r="D21" s="13"/>
      <x:c r="E21" s="13"/>
      <x:c r="F21" s="13"/>
      <x:c r="G21" s="13"/>
    </x:row>
    <x:row r="22" ht="24" customHeight="1">
      <x:c r="A22" s="13"/>
      <x:c r="B22" s="13"/>
      <x:c r="C22" s="13"/>
      <x:c r="D22" s="13"/>
      <x:c r="E22" s="13"/>
      <x:c r="F22" s="13"/>
      <x:c r="G22" s="13"/>
    </x:row>
    <x:row r="23" ht="24" customHeight="1">
      <x:c r="A23" s="13"/>
      <x:c r="B23" s="13"/>
      <x:c r="C23" s="13"/>
      <x:c r="D23" s="13"/>
      <x:c r="E23" s="13"/>
      <x:c r="F23" s="13"/>
      <x:c r="G23" s="13"/>
    </x:row>
  </x:sheetData>
  <x:mergeCells>
    <x:mergeCell ref="A1:G1"/>
    <x:mergeCell ref="A2:G2"/>
    <x:mergeCell ref="A10:F10"/>
    <x:mergeCell ref="A17:B17"/>
    <x:mergeCell ref="A20:G20"/>
    <x:mergeCell ref="A21:G23"/>
  </x:mergeCells>
  <x:pageMargins left="0.7" right="0.7" top="0.75" bottom="0.75" header="0.3" footer="0.3"/>
  <x:tableParts count="1">
    <x:tablePart xmlns:r="http://schemas.openxmlformats.org/officeDocument/2006/relationships" r:id="R68bd09e6189c44b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6" hidden="0" customWidth="1"/>
    <x:col min="4" max="4" width="12" hidden="0" customWidth="1"/>
    <x:col min="5" max="5" width="16" hidden="0" customWidth="1"/>
    <x:col min="6" max="6" width="14" hidden="0" customWidth="1"/>
    <x:col min="7" max="7" width="17" hidden="0" customWidth="1"/>
    <x:col min="8" max="8" width="13" hidden="0" customWidth="1"/>
    <x:col min="9" max="9" width="16" hidden="0" customWidth="1"/>
  </x:cols>
  <x:sheetData>
    <x:row r="1" ht="30" customHeight="1">
      <x:c r="A1" s="5" t="str">
        <x:v>Detalle de Material Directo (MD)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13" t="str">
        <x:v>Cantidades por unidad de producto inferidas de los consumos proyectados observados en V-Logistics. Los materiales sin consumo observado se dejan en 0 y pueden ajustarse si la plataforma muestra otra composición.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22" t="str">
        <x:v>ID</x:v>
      </x:c>
      <x:c r="B4" s="22" t="str">
        <x:v>Materia prima</x:v>
      </x:c>
      <x:c r="C4" s="22" t="str">
        <x:v>Precio unitario</x:v>
      </x:c>
      <x:c r="D4" s="22" t="str">
        <x:v>Cant. Moto</x:v>
      </x:c>
      <x:c r="E4" s="22" t="str">
        <x:v>Costo Moto</x:v>
      </x:c>
      <x:c r="F4" s="22" t="str">
        <x:v>Cant. Cuatrimoto</x:v>
      </x:c>
      <x:c r="G4" s="22" t="str">
        <x:v>Costo Cuatrimoto</x:v>
      </x:c>
      <x:c r="H4" s="22" t="str">
        <x:v>Cant. Tractor</x:v>
      </x:c>
      <x:c r="I4" s="22" t="str">
        <x:v>Costo Tractor</x:v>
      </x:c>
    </x:row>
    <x:row r="5">
      <x:c r="A5" s="36" t="n">
        <x:v>1</x:v>
      </x:c>
      <x:c r="B5" s="36" t="str">
        <x:v>CUARTO LADRILLO AZUL</x:v>
      </x:c>
      <x:c r="C5" s="37" t="n">
        <x:v>10000</x:v>
      </x:c>
      <x:c r="D5" s="36" t="n">
        <x:v>1</x:v>
      </x:c>
      <x:c r="E5" s="37" t="n">
        <x:f>C5*D5</x:f>
        <x:v>10000</x:v>
      </x:c>
      <x:c r="F5" s="36" t="n">
        <x:v>2</x:v>
      </x:c>
      <x:c r="G5" s="37" t="n">
        <x:f>C5*F5</x:f>
        <x:v>20000</x:v>
      </x:c>
      <x:c r="H5" s="36" t="n">
        <x:v>2</x:v>
      </x:c>
      <x:c r="I5" s="37" t="n">
        <x:f>C5*H5</x:f>
        <x:v>20000</x:v>
      </x:c>
    </x:row>
    <x:row r="6">
      <x:c r="A6" s="36" t="n">
        <x:v>2</x:v>
      </x:c>
      <x:c r="B6" s="36" t="str">
        <x:v>MEDIO LADRILLO AZUL</x:v>
      </x:c>
      <x:c r="C6" s="37" t="n">
        <x:v>20000</x:v>
      </x:c>
      <x:c r="D6" s="36" t="n">
        <x:v>6</x:v>
      </x:c>
      <x:c r="E6" s="37" t="n">
        <x:f>C6*D6</x:f>
        <x:v>120000</x:v>
      </x:c>
      <x:c r="F6" s="36" t="n">
        <x:v>6</x:v>
      </x:c>
      <x:c r="G6" s="37" t="n">
        <x:f>C6*F6</x:f>
        <x:v>120000</x:v>
      </x:c>
      <x:c r="H6" s="36" t="n">
        <x:v>6</x:v>
      </x:c>
      <x:c r="I6" s="37" t="n">
        <x:f>C6*H6</x:f>
        <x:v>120000</x:v>
      </x:c>
    </x:row>
    <x:row r="7">
      <x:c r="A7" s="36" t="n">
        <x:v>3</x:v>
      </x:c>
      <x:c r="B7" s="36" t="str">
        <x:v>LADRILLO COMPLETO AZUL</x:v>
      </x:c>
      <x:c r="C7" s="37" t="n">
        <x:v>40000</x:v>
      </x:c>
      <x:c r="D7" s="36" t="n">
        <x:v>8</x:v>
      </x:c>
      <x:c r="E7" s="37" t="n">
        <x:f>C7*D7</x:f>
        <x:v>320000</x:v>
      </x:c>
      <x:c r="F7" s="36" t="n">
        <x:v>8</x:v>
      </x:c>
      <x:c r="G7" s="37" t="n">
        <x:f>C7*F7</x:f>
        <x:v>320000</x:v>
      </x:c>
      <x:c r="H7" s="36" t="n">
        <x:v>8</x:v>
      </x:c>
      <x:c r="I7" s="37" t="n">
        <x:f>C7*H7</x:f>
        <x:v>320000</x:v>
      </x:c>
    </x:row>
    <x:row r="8">
      <x:c r="A8" s="36" t="n">
        <x:v>4</x:v>
      </x:c>
      <x:c r="B8" s="36" t="str">
        <x:v>LADRILLO TRIANGULAR AZUL</x:v>
      </x:c>
      <x:c r="C8" s="37" t="n">
        <x:v>25000</x:v>
      </x:c>
      <x:c r="D8" s="36" t="n">
        <x:v>2</x:v>
      </x:c>
      <x:c r="E8" s="37" t="n">
        <x:f>C8*D8</x:f>
        <x:v>50000</x:v>
      </x:c>
      <x:c r="F8" s="36" t="n">
        <x:v>2</x:v>
      </x:c>
      <x:c r="G8" s="37" t="n">
        <x:f>C8*F8</x:f>
        <x:v>50000</x:v>
      </x:c>
      <x:c r="H8" s="36" t="n">
        <x:v>2</x:v>
      </x:c>
      <x:c r="I8" s="37" t="n">
        <x:f>C8*H8</x:f>
        <x:v>50000</x:v>
      </x:c>
    </x:row>
    <x:row r="9">
      <x:c r="A9" s="36" t="n">
        <x:v>5</x:v>
      </x:c>
      <x:c r="B9" s="36" t="str">
        <x:v>DINTEL SIMPLE AMARILLO</x:v>
      </x:c>
      <x:c r="C9" s="37" t="n">
        <x:v>20000</x:v>
      </x:c>
      <x:c r="D9" s="36" t="n">
        <x:v>2</x:v>
      </x:c>
      <x:c r="E9" s="37" t="n">
        <x:f>C9*D9</x:f>
        <x:v>40000</x:v>
      </x:c>
      <x:c r="F9" s="36" t="n">
        <x:v>1</x:v>
      </x:c>
      <x:c r="G9" s="37" t="n">
        <x:f>C9*F9</x:f>
        <x:v>20000</x:v>
      </x:c>
      <x:c r="H9" s="36" t="n">
        <x:v>3</x:v>
      </x:c>
      <x:c r="I9" s="37" t="n">
        <x:f>C9*H9</x:f>
        <x:v>60000</x:v>
      </x:c>
    </x:row>
    <x:row r="10">
      <x:c r="A10" s="36" t="n">
        <x:v>6</x:v>
      </x:c>
      <x:c r="B10" s="36" t="str">
        <x:v>DINTEL DOBLE AMARILLO</x:v>
      </x:c>
      <x:c r="C10" s="37" t="n">
        <x:v>40000</x:v>
      </x:c>
      <x:c r="D10" s="36" t="n">
        <x:v>2</x:v>
      </x:c>
      <x:c r="E10" s="37" t="n">
        <x:f>C10*D10</x:f>
        <x:v>80000</x:v>
      </x:c>
      <x:c r="F10" s="36" t="n">
        <x:v>4</x:v>
      </x:c>
      <x:c r="G10" s="37" t="n">
        <x:f>C10*F10</x:f>
        <x:v>160000</x:v>
      </x:c>
      <x:c r="H10" s="36" t="n">
        <x:v>3</x:v>
      </x:c>
      <x:c r="I10" s="37" t="n">
        <x:f>C10*H10</x:f>
        <x:v>120000</x:v>
      </x:c>
    </x:row>
    <x:row r="11">
      <x:c r="A11" s="36" t="n">
        <x:v>7</x:v>
      </x:c>
      <x:c r="B11" s="36" t="str">
        <x:v>DINTEL TRIPLE AMARILLO</x:v>
      </x:c>
      <x:c r="C11" s="37" t="n">
        <x:v>100000</x:v>
      </x:c>
      <x:c r="D11" s="36" t="n">
        <x:v>0</x:v>
      </x:c>
      <x:c r="E11" s="37" t="n">
        <x:f>C11*D11</x:f>
        <x:v>0</x:v>
      </x:c>
      <x:c r="F11" s="36" t="n">
        <x:v>0</x:v>
      </x:c>
      <x:c r="G11" s="37" t="n">
        <x:f>C11*F11</x:f>
        <x:v>0</x:v>
      </x:c>
      <x:c r="H11" s="36" t="n">
        <x:v>3</x:v>
      </x:c>
      <x:c r="I11" s="37" t="n">
        <x:f>C11*H11</x:f>
        <x:v>300000</x:v>
      </x:c>
    </x:row>
    <x:row r="12">
      <x:c r="A12" s="36" t="n">
        <x:v>8</x:v>
      </x:c>
      <x:c r="B12" s="36" t="str">
        <x:v>BLOQUE REDONDO SENCILLO AMARILLO</x:v>
      </x:c>
      <x:c r="C12" s="37" t="n">
        <x:v>50000</x:v>
      </x:c>
      <x:c r="D12" s="36" t="n">
        <x:v>7</x:v>
      </x:c>
      <x:c r="E12" s="37" t="n">
        <x:f>C12*D12</x:f>
        <x:v>350000</x:v>
      </x:c>
      <x:c r="F12" s="36" t="n">
        <x:v>0</x:v>
      </x:c>
      <x:c r="G12" s="37" t="n">
        <x:f>C12*F12</x:f>
        <x:v>0</x:v>
      </x:c>
      <x:c r="H12" s="36" t="n">
        <x:v>3</x:v>
      </x:c>
      <x:c r="I12" s="37" t="n">
        <x:f>C12*H12</x:f>
        <x:v>150000</x:v>
      </x:c>
    </x:row>
    <x:row r="13">
      <x:c r="A13" s="36" t="n">
        <x:v>9</x:v>
      </x:c>
      <x:c r="B13" s="36" t="str">
        <x:v>MEDIO BLOQUE REDONDO AMARILLO</x:v>
      </x:c>
      <x:c r="C13" s="37" t="n">
        <x:v>40000</x:v>
      </x:c>
      <x:c r="D13" s="36" t="n">
        <x:v>0</x:v>
      </x:c>
      <x:c r="E13" s="37" t="n">
        <x:f>C13*D13</x:f>
        <x:v>0</x:v>
      </x:c>
      <x:c r="F13" s="36" t="n">
        <x:v>2</x:v>
      </x:c>
      <x:c r="G13" s="37" t="n">
        <x:f>C13*F13</x:f>
        <x:v>80000</x:v>
      </x:c>
      <x:c r="H13" s="36" t="n">
        <x:v>2</x:v>
      </x:c>
      <x:c r="I13" s="37" t="n">
        <x:f>C13*H13</x:f>
        <x:v>80000</x:v>
      </x:c>
    </x:row>
    <x:row r="14">
      <x:c r="A14" s="36" t="n">
        <x:v>10</x:v>
      </x:c>
      <x:c r="B14" s="36" t="str">
        <x:v>BLOQUE REDONDO MACHO-MACHO AMARILLO</x:v>
      </x:c>
      <x:c r="C14" s="37" t="n">
        <x:v>50000</x:v>
      </x:c>
      <x:c r="D14" s="36" t="n">
        <x:v>8</x:v>
      </x:c>
      <x:c r="E14" s="37" t="n">
        <x:f>C14*D14</x:f>
        <x:v>400000</x:v>
      </x:c>
      <x:c r="F14" s="36" t="n">
        <x:v>0</x:v>
      </x:c>
      <x:c r="G14" s="37" t="n">
        <x:f>C14*F14</x:f>
        <x:v>0</x:v>
      </x:c>
      <x:c r="H14" s="36" t="n">
        <x:v>2</x:v>
      </x:c>
      <x:c r="I14" s="37" t="n">
        <x:f>C14*H14</x:f>
        <x:v>100000</x:v>
      </x:c>
    </x:row>
    <x:row r="15">
      <x:c r="A15" s="36" t="n">
        <x:v>11</x:v>
      </x:c>
      <x:c r="B15" s="36" t="str">
        <x:v>BLOQUE REDONDO HEMBRA-HEMBRA AMARILLO</x:v>
      </x:c>
      <x:c r="C15" s="37" t="n">
        <x:v>50000</x:v>
      </x:c>
      <x:c r="D15" s="36" t="n">
        <x:v>3</x:v>
      </x:c>
      <x:c r="E15" s="37" t="n">
        <x:f>C15*D15</x:f>
        <x:v>150000</x:v>
      </x:c>
      <x:c r="F15" s="36" t="n">
        <x:v>0</x:v>
      </x:c>
      <x:c r="G15" s="37" t="n">
        <x:f>C15*F15</x:f>
        <x:v>0</x:v>
      </x:c>
      <x:c r="H15" s="36" t="n">
        <x:v>2</x:v>
      </x:c>
      <x:c r="I15" s="37" t="n">
        <x:f>C15*H15</x:f>
        <x:v>100000</x:v>
      </x:c>
    </x:row>
    <x:row r="16">
      <x:c r="A16" s="36" t="n">
        <x:v>12</x:v>
      </x:c>
      <x:c r="B16" s="36" t="str">
        <x:v>CARRETE DE ESPIGAS AMARILLO</x:v>
      </x:c>
      <x:c r="C16" s="37" t="n">
        <x:v>50000</x:v>
      </x:c>
      <x:c r="D16" s="36" t="n">
        <x:v>0</x:v>
      </x:c>
      <x:c r="E16" s="37" t="n">
        <x:f>C16*D16</x:f>
        <x:v>0</x:v>
      </x:c>
      <x:c r="F16" s="36" t="n">
        <x:v>0</x:v>
      </x:c>
      <x:c r="G16" s="37" t="n">
        <x:f>C16*F16</x:f>
        <x:v>0</x:v>
      </x:c>
      <x:c r="H16" s="36" t="n">
        <x:v>0</x:v>
      </x:c>
      <x:c r="I16" s="37" t="n">
        <x:f>C16*H16</x:f>
        <x:v>0</x:v>
      </x:c>
    </x:row>
    <x:row r="17">
      <x:c r="A17" s="36" t="n">
        <x:v>13</x:v>
      </x:c>
      <x:c r="B17" s="36" t="str">
        <x:v>PIÑÓN GRANDE AMARILLO</x:v>
      </x:c>
      <x:c r="C17" s="37" t="n">
        <x:v>150000</x:v>
      </x:c>
      <x:c r="D17" s="36" t="n">
        <x:v>2</x:v>
      </x:c>
      <x:c r="E17" s="37" t="n">
        <x:f>C17*D17</x:f>
        <x:v>300000</x:v>
      </x:c>
      <x:c r="F17" s="36" t="n">
        <x:v>0</x:v>
      </x:c>
      <x:c r="G17" s="37" t="n">
        <x:f>C17*F17</x:f>
        <x:v>0</x:v>
      </x:c>
      <x:c r="H17" s="36" t="n">
        <x:v>0</x:v>
      </x:c>
      <x:c r="I17" s="37" t="n">
        <x:f>C17*H17</x:f>
        <x:v>0</x:v>
      </x:c>
    </x:row>
    <x:row r="18">
      <x:c r="A18" s="36" t="n">
        <x:v>14</x:v>
      </x:c>
      <x:c r="B18" s="36" t="str">
        <x:v>PIÑÓN PEQUEÑO AMARILLO</x:v>
      </x:c>
      <x:c r="C18" s="37" t="n">
        <x:v>50000</x:v>
      </x:c>
      <x:c r="D18" s="36" t="n">
        <x:v>0</x:v>
      </x:c>
      <x:c r="E18" s="37" t="n">
        <x:f>C18*D18</x:f>
        <x:v>0</x:v>
      </x:c>
      <x:c r="F18" s="36" t="n">
        <x:v>4</x:v>
      </x:c>
      <x:c r="G18" s="37" t="n">
        <x:f>C18*F18</x:f>
        <x:v>200000</x:v>
      </x:c>
      <x:c r="H18" s="36" t="n">
        <x:v>4</x:v>
      </x:c>
      <x:c r="I18" s="37" t="n">
        <x:f>C18*H18</x:f>
        <x:v>200000</x:v>
      </x:c>
    </x:row>
    <x:row r="19">
      <x:c r="A19" s="36" t="n">
        <x:v>15</x:v>
      </x:c>
      <x:c r="B19" s="36" t="str">
        <x:v>PIÑÓN CÓNICO AMARILLO</x:v>
      </x:c>
      <x:c r="C19" s="37" t="n">
        <x:v>50000</x:v>
      </x:c>
      <x:c r="D19" s="36" t="n">
        <x:v>0</x:v>
      </x:c>
      <x:c r="E19" s="37" t="n">
        <x:f>C19*D19</x:f>
        <x:v>0</x:v>
      </x:c>
      <x:c r="F19" s="36" t="n">
        <x:v>0</x:v>
      </x:c>
      <x:c r="G19" s="37" t="n">
        <x:f>C19*F19</x:f>
        <x:v>0</x:v>
      </x:c>
      <x:c r="H19" s="36" t="n">
        <x:v>0</x:v>
      </x:c>
      <x:c r="I19" s="37" t="n">
        <x:f>C19*H19</x:f>
        <x:v>0</x:v>
      </x:c>
    </x:row>
    <x:row r="20">
      <x:c r="A20" s="36" t="n">
        <x:v>16</x:v>
      </x:c>
      <x:c r="B20" s="36" t="str">
        <x:v>VIGA SIMPLE GRIS</x:v>
      </x:c>
      <x:c r="C20" s="37" t="n">
        <x:v>50000</x:v>
      </x:c>
      <x:c r="D20" s="36" t="n">
        <x:v>8</x:v>
      </x:c>
      <x:c r="E20" s="37" t="n">
        <x:f>C20*D20</x:f>
        <x:v>400000</x:v>
      </x:c>
      <x:c r="F20" s="36" t="n">
        <x:v>5</x:v>
      </x:c>
      <x:c r="G20" s="37" t="n">
        <x:f>C20*F20</x:f>
        <x:v>250000</x:v>
      </x:c>
      <x:c r="H20" s="36" t="n">
        <x:v>3</x:v>
      </x:c>
      <x:c r="I20" s="37" t="n">
        <x:f>C20*H20</x:f>
        <x:v>150000</x:v>
      </x:c>
    </x:row>
    <x:row r="21">
      <x:c r="A21" s="36" t="n">
        <x:v>17</x:v>
      </x:c>
      <x:c r="B21" s="36" t="str">
        <x:v>VIGA DOBLE GRIS</x:v>
      </x:c>
      <x:c r="C21" s="37" t="n">
        <x:v>100000</x:v>
      </x:c>
      <x:c r="D21" s="36" t="n">
        <x:v>2</x:v>
      </x:c>
      <x:c r="E21" s="37" t="n">
        <x:f>C21*D21</x:f>
        <x:v>200000</x:v>
      </x:c>
      <x:c r="F21" s="36" t="n">
        <x:v>0</x:v>
      </x:c>
      <x:c r="G21" s="37" t="n">
        <x:f>C21*F21</x:f>
        <x:v>0</x:v>
      </x:c>
      <x:c r="H21" s="36" t="n">
        <x:v>0</x:v>
      </x:c>
      <x:c r="I21" s="37" t="n">
        <x:f>C21*H21</x:f>
        <x:v>0</x:v>
      </x:c>
    </x:row>
    <x:row r="22">
      <x:c r="A22" s="36" t="n">
        <x:v>18</x:v>
      </x:c>
      <x:c r="B22" s="36" t="str">
        <x:v>VIGA TRIPLE GRIS</x:v>
      </x:c>
      <x:c r="C22" s="37" t="n">
        <x:v>150000</x:v>
      </x:c>
      <x:c r="D22" s="36" t="n">
        <x:v>2</x:v>
      </x:c>
      <x:c r="E22" s="37" t="n">
        <x:f>C22*D22</x:f>
        <x:v>300000</x:v>
      </x:c>
      <x:c r="F22" s="36" t="n">
        <x:v>0</x:v>
      </x:c>
      <x:c r="G22" s="37" t="n">
        <x:f>C22*F22</x:f>
        <x:v>0</x:v>
      </x:c>
      <x:c r="H22" s="36" t="n">
        <x:v>0</x:v>
      </x:c>
      <x:c r="I22" s="37" t="n">
        <x:f>C22*H22</x:f>
        <x:v>0</x:v>
      </x:c>
    </x:row>
    <x:row r="23">
      <x:c r="A23" s="36" t="n">
        <x:v>19</x:v>
      </x:c>
      <x:c r="B23" s="36" t="str">
        <x:v>BLOQUE DE EJES NEGRO</x:v>
      </x:c>
      <x:c r="C23" s="37" t="n">
        <x:v>50000</x:v>
      </x:c>
      <x:c r="D23" s="36" t="n">
        <x:v>3</x:v>
      </x:c>
      <x:c r="E23" s="37" t="n">
        <x:f>C23*D23</x:f>
        <x:v>150000</x:v>
      </x:c>
      <x:c r="F23" s="36" t="n">
        <x:v>4</x:v>
      </x:c>
      <x:c r="G23" s="37" t="n">
        <x:f>C23*F23</x:f>
        <x:v>200000</x:v>
      </x:c>
      <x:c r="H23" s="36" t="n">
        <x:v>4</x:v>
      </x:c>
      <x:c r="I23" s="37" t="n">
        <x:f>C23*H23</x:f>
        <x:v>200000</x:v>
      </x:c>
    </x:row>
    <x:row r="24">
      <x:c r="A24" s="36" t="n">
        <x:v>20</x:v>
      </x:c>
      <x:c r="B24" s="36" t="str">
        <x:v>CILINDRO NEGRO</x:v>
      </x:c>
      <x:c r="C24" s="37" t="n">
        <x:v>5000</x:v>
      </x:c>
      <x:c r="D24" s="36" t="n">
        <x:v>0</x:v>
      </x:c>
      <x:c r="E24" s="37" t="n">
        <x:f>C24*D24</x:f>
        <x:v>0</x:v>
      </x:c>
      <x:c r="F24" s="36" t="n">
        <x:v>0</x:v>
      </x:c>
      <x:c r="G24" s="37" t="n">
        <x:f>C24*F24</x:f>
        <x:v>0</x:v>
      </x:c>
      <x:c r="H24" s="36" t="n">
        <x:v>0</x:v>
      </x:c>
      <x:c r="I24" s="37" t="n">
        <x:f>C24*H24</x:f>
        <x:v>0</x:v>
      </x:c>
    </x:row>
    <x:row r="25">
      <x:c r="A25" s="36" t="n">
        <x:v>21</x:v>
      </x:c>
      <x:c r="B25" s="36" t="str">
        <x:v>COLUMNA NEGRA</x:v>
      </x:c>
      <x:c r="C25" s="37" t="n">
        <x:v>5000</x:v>
      </x:c>
      <x:c r="D25" s="36" t="n">
        <x:v>1</x:v>
      </x:c>
      <x:c r="E25" s="37" t="n">
        <x:f>C25*D25</x:f>
        <x:v>5000</x:v>
      </x:c>
      <x:c r="F25" s="36" t="n">
        <x:v>0</x:v>
      </x:c>
      <x:c r="G25" s="37" t="n">
        <x:f>C25*F25</x:f>
        <x:v>0</x:v>
      </x:c>
      <x:c r="H25" s="36" t="n">
        <x:v>2</x:v>
      </x:c>
      <x:c r="I25" s="37" t="n">
        <x:f>C25*H25</x:f>
        <x:v>10000</x:v>
      </x:c>
    </x:row>
    <x:row r="26">
      <x:c r="A26" s="36" t="n">
        <x:v>22</x:v>
      </x:c>
      <x:c r="B26" s="36" t="str">
        <x:v>ESLABÓN DE ORUGA NEGRO</x:v>
      </x:c>
      <x:c r="C26" s="37" t="n">
        <x:v>4000</x:v>
      </x:c>
      <x:c r="D26" s="36" t="n">
        <x:v>28</x:v>
      </x:c>
      <x:c r="E26" s="37" t="n">
        <x:f>C26*D26</x:f>
        <x:v>112000</x:v>
      </x:c>
      <x:c r="F26" s="36" t="n">
        <x:v>32</x:v>
      </x:c>
      <x:c r="G26" s="37" t="n">
        <x:f>C26*F26</x:f>
        <x:v>128000</x:v>
      </x:c>
      <x:c r="H26" s="36" t="n">
        <x:v>40</x:v>
      </x:c>
      <x:c r="I26" s="37" t="n">
        <x:f>C26*H26</x:f>
        <x:v>160000</x:v>
      </x:c>
    </x:row>
    <x:row r="27">
      <x:c r="A27" s="36" t="n">
        <x:v>23</x:v>
      </x:c>
      <x:c r="B27" s="36" t="str">
        <x:v>PIN TRIPLE AZUL</x:v>
      </x:c>
      <x:c r="C27" s="37" t="n">
        <x:v>40000</x:v>
      </x:c>
      <x:c r="D27" s="36" t="n">
        <x:v>3</x:v>
      </x:c>
      <x:c r="E27" s="37" t="n">
        <x:f>C27*D27</x:f>
        <x:v>120000</x:v>
      </x:c>
      <x:c r="F27" s="36" t="n">
        <x:v>4</x:v>
      </x:c>
      <x:c r="G27" s="37" t="n">
        <x:f>C27*F27</x:f>
        <x:v>160000</x:v>
      </x:c>
      <x:c r="H27" s="36" t="n">
        <x:v>0</x:v>
      </x:c>
      <x:c r="I27" s="37" t="n">
        <x:f>C27*H27</x:f>
        <x:v>0</x:v>
      </x:c>
    </x:row>
    <x:row r="28">
      <x:c r="A28" s="36" t="n">
        <x:v>24</x:v>
      </x:c>
      <x:c r="B28" s="36" t="str">
        <x:v>PIN DOBLE AZUL</x:v>
      </x:c>
      <x:c r="C28" s="37" t="n">
        <x:v>30000</x:v>
      </x:c>
      <x:c r="D28" s="36" t="n">
        <x:v>6</x:v>
      </x:c>
      <x:c r="E28" s="37" t="n">
        <x:f>C28*D28</x:f>
        <x:v>180000</x:v>
      </x:c>
      <x:c r="F28" s="36" t="n">
        <x:v>4</x:v>
      </x:c>
      <x:c r="G28" s="37" t="n">
        <x:f>C28*F28</x:f>
        <x:v>120000</x:v>
      </x:c>
      <x:c r="H28" s="36" t="n">
        <x:v>0</x:v>
      </x:c>
      <x:c r="I28" s="37" t="n">
        <x:f>C28*H28</x:f>
        <x:v>0</x:v>
      </x:c>
    </x:row>
    <x:row r="29">
      <x:c r="A29" s="36" t="n">
        <x:v>25</x:v>
      </x:c>
      <x:c r="B29" s="36" t="str">
        <x:v>PIN SIMPLE AZUL</x:v>
      </x:c>
      <x:c r="C29" s="37" t="n">
        <x:v>20000</x:v>
      </x:c>
      <x:c r="D29" s="36" t="n">
        <x:v>2</x:v>
      </x:c>
      <x:c r="E29" s="37" t="n">
        <x:f>C29*D29</x:f>
        <x:v>40000</x:v>
      </x:c>
      <x:c r="F29" s="36" t="n">
        <x:v>0</x:v>
      </x:c>
      <x:c r="G29" s="37" t="n">
        <x:f>C29*F29</x:f>
        <x:v>0</x:v>
      </x:c>
      <x:c r="H29" s="36" t="n">
        <x:v>4</x:v>
      </x:c>
      <x:c r="I29" s="37" t="n">
        <x:f>C29*H29</x:f>
        <x:v>80000</x:v>
      </x:c>
    </x:row>
    <x:row r="30">
      <x:c r="A30" s="36" t="n">
        <x:v>26</x:v>
      </x:c>
      <x:c r="B30" s="36" t="str">
        <x:v>TOPE DE EJE AMARILLO</x:v>
      </x:c>
      <x:c r="C30" s="37" t="n">
        <x:v>5000</x:v>
      </x:c>
      <x:c r="D30" s="36" t="n">
        <x:v>4</x:v>
      </x:c>
      <x:c r="E30" s="37" t="n">
        <x:f>C30*D30</x:f>
        <x:v>20000</x:v>
      </x:c>
      <x:c r="F30" s="36" t="n">
        <x:v>4</x:v>
      </x:c>
      <x:c r="G30" s="37" t="n">
        <x:f>C30*F30</x:f>
        <x:v>20000</x:v>
      </x:c>
      <x:c r="H30" s="36" t="n">
        <x:v>4</x:v>
      </x:c>
      <x:c r="I30" s="37" t="n">
        <x:f>C30*H30</x:f>
        <x:v>20000</x:v>
      </x:c>
    </x:row>
    <x:row r="31">
      <x:c r="A31" s="36" t="n">
        <x:v>27</x:v>
      </x:c>
      <x:c r="B31" s="36" t="str">
        <x:v>EJE HEXAGONAL 3.5 CM</x:v>
      </x:c>
      <x:c r="C31" s="37" t="n">
        <x:v>300000</x:v>
      </x:c>
      <x:c r="D31" s="36" t="n">
        <x:v>0</x:v>
      </x:c>
      <x:c r="E31" s="37" t="n">
        <x:f>C31*D31</x:f>
        <x:v>0</x:v>
      </x:c>
      <x:c r="F31" s="36" t="n">
        <x:v>0</x:v>
      </x:c>
      <x:c r="G31" s="37" t="n">
        <x:f>C31*F31</x:f>
        <x:v>0</x:v>
      </x:c>
      <x:c r="H31" s="36" t="n">
        <x:v>0</x:v>
      </x:c>
      <x:c r="I31" s="37" t="n">
        <x:f>C31*H31</x:f>
        <x:v>0</x:v>
      </x:c>
    </x:row>
    <x:row r="32">
      <x:c r="A32" s="36" t="n">
        <x:v>28</x:v>
      </x:c>
      <x:c r="B32" s="36" t="str">
        <x:v>EJE HEXAGONAL 6.5 CM</x:v>
      </x:c>
      <x:c r="C32" s="37" t="n">
        <x:v>300000</x:v>
      </x:c>
      <x:c r="D32" s="36" t="n">
        <x:v>2</x:v>
      </x:c>
      <x:c r="E32" s="37" t="n">
        <x:f>C32*D32</x:f>
        <x:v>600000</x:v>
      </x:c>
      <x:c r="F32" s="36" t="n">
        <x:v>0</x:v>
      </x:c>
      <x:c r="G32" s="37" t="n">
        <x:f>C32*F32</x:f>
        <x:v>0</x:v>
      </x:c>
      <x:c r="H32" s="36" t="n">
        <x:v>0</x:v>
      </x:c>
      <x:c r="I32" s="37" t="n">
        <x:f>C32*H32</x:f>
        <x:v>0</x:v>
      </x:c>
    </x:row>
    <x:row r="33">
      <x:c r="A33" s="36" t="n">
        <x:v>29</x:v>
      </x:c>
      <x:c r="B33" s="36" t="str">
        <x:v>EJE HEXAGONAL 10 CM</x:v>
      </x:c>
      <x:c r="C33" s="37" t="n">
        <x:v>550000</x:v>
      </x:c>
      <x:c r="D33" s="36" t="n">
        <x:v>0</x:v>
      </x:c>
      <x:c r="E33" s="37" t="n">
        <x:f>C33*D33</x:f>
        <x:v>0</x:v>
      </x:c>
      <x:c r="F33" s="36" t="n">
        <x:v>2</x:v>
      </x:c>
      <x:c r="G33" s="37" t="n">
        <x:f>C33*F33</x:f>
        <x:v>1100000</x:v>
      </x:c>
      <x:c r="H33" s="36" t="n">
        <x:v>2</x:v>
      </x:c>
      <x:c r="I33" s="37" t="n">
        <x:f>C33*H33</x:f>
        <x:v>1100000</x:v>
      </x:c>
    </x:row>
    <x:row r="34">
      <x:c r="A34" s="36"/>
      <x:c r="B34" s="36"/>
      <x:c r="C34" s="36"/>
      <x:c r="D34" s="36"/>
      <x:c r="E34" s="37"/>
      <x:c r="F34" s="36"/>
      <x:c r="G34" s="37"/>
      <x:c r="H34" s="36"/>
      <x:c r="I34" s="37"/>
    </x:row>
    <x:row r="35">
      <x:c r="A35" s="38" t="str">
        <x:v>TOTAL MATERIAL DIRECTO POR UNIDAD</x:v>
      </x:c>
      <x:c r="B35" s="38"/>
      <x:c r="C35" s="38"/>
      <x:c r="D35" s="38"/>
      <x:c r="E35" s="39" t="n">
        <x:f>SUM(E5:E33)</x:f>
        <x:v>3947000</x:v>
      </x:c>
      <x:c r="F35" s="38"/>
      <x:c r="G35" s="39" t="n">
        <x:f>SUM(G5:G33)</x:f>
        <x:v>2948000</x:v>
      </x:c>
      <x:c r="H35" s="38"/>
      <x:c r="I35" s="39" t="n">
        <x:f>SUM(I5:I33)</x:f>
        <x:v>3340000</x:v>
      </x:c>
    </x:row>
  </x:sheetData>
  <x:mergeCells>
    <x:mergeCell ref="A1:I1"/>
    <x:mergeCell ref="A2:I2"/>
    <x:mergeCell ref="A35:D35"/>
  </x:mergeCells>
  <x:pageMargins left="0.7" right="0.7" top="0.75" bottom="0.75" header="0.3" footer="0.3"/>
  <x:tableParts count="1">
    <x:tablePart xmlns:r="http://schemas.openxmlformats.org/officeDocument/2006/relationships" r:id="Rc60834e8147c4735"/>
  </x:tableParts>
</x:worksheet>
</file>